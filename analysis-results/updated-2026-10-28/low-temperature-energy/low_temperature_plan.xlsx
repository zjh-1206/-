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候选与区间" sheetId="2" state="visible" r:id="rId2"/>
    <sheet xmlns:r="http://schemas.openxmlformats.org/officeDocument/2006/relationships" name="同相比同浓度温度比较" sheetId="3" state="visible" r:id="rId3"/>
    <sheet xmlns:r="http://schemas.openxmlformats.org/officeDocument/2006/relationships" name="能耗记录模板" sheetId="4" state="visible" r:id="rId4"/>
    <sheet xmlns:r="http://schemas.openxmlformats.org/officeDocument/2006/relationships" name="正式更正数据" sheetId="5" state="visible" r:id="rId5"/>
  </sheets>
  <definedNames>
    <definedName name="_xlnm._FilterDatabase" localSheetId="0" hidden="1">'说明'!$A$1:$B$13</definedName>
    <definedName name="_xlnm._FilterDatabase" localSheetId="1" hidden="1">'候选与区间'!$A$1:$Q$6</definedName>
    <definedName name="_xlnm._FilterDatabase" localSheetId="2" hidden="1">'同相比同浓度温度比较'!$A$1:$Q$11</definedName>
    <definedName name="_xlnm._FilterDatabase" localSheetId="3" hidden="1">'能耗记录模板'!$A$1:$Q$7</definedName>
    <definedName name="_xlnm._FilterDatabase" localSheetId="4" hidden="1">'正式更正数据'!$A$1:$H$18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83C50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2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用户目标</t>
        </is>
      </c>
      <c r="B2" s="2" t="inlineStr">
        <is>
          <t>考虑能耗，提高氟萃取率并降低磷损失；氟萃取率至少80%，磷损失最多5%。暂无能耗数据，用户要求先比较低温方案。</t>
        </is>
      </c>
    </row>
    <row r="3">
      <c r="A3" s="2" t="inlineStr">
        <is>
          <t>边界</t>
        </is>
      </c>
      <c r="B3" s="2" t="inlineStr">
        <is>
          <t>温度75–95°C、相比0.667–1.333、初始氟0.8–1.2%；编码绝对值和≤2，保持在原BBD设计点凸包内。不外推低于75°C。</t>
        </is>
      </c>
    </row>
    <row r="4">
      <c r="A4" s="2" t="inlineStr">
        <is>
          <t>能耗状态</t>
        </is>
      </c>
      <c r="B4" s="2" t="inlineStr">
        <is>
          <t>未测量或估计任何kWh。最低温候选只用于筛选，不能称为实际能耗最低。相比改变会影响相体积和热负荷，实际必须按同一处理量比较。</t>
        </is>
      </c>
    </row>
    <row r="5">
      <c r="A5" s="2" t="inlineStr">
        <is>
          <t>数据与模型</t>
        </is>
      </c>
      <c r="B5" s="2" t="inlineStr">
        <is>
          <t>采用用户确认的正式更正截图数据及显示精度。氟完整二次、磷线性；β不用于可靠寻优。</t>
        </is>
      </c>
    </row>
    <row r="6">
      <c r="A6" s="2" t="inlineStr">
        <is>
          <t>优化规则</t>
        </is>
      </c>
      <c r="B6" s="2" t="inlineStr">
        <is>
          <t>先最低温度，再在该温度下最大化氟预测值；分别以点预测、均值95%CI界、单次95%PI界约束F≥80、P≤5。三种约束解释不同。</t>
        </is>
      </c>
    </row>
    <row r="7">
      <c r="A7" s="2" t="inlineStr">
        <is>
          <t>平均与单次</t>
        </is>
      </c>
      <c r="B7" s="2" t="inlineStr">
        <is>
          <t>均值CI描述同条件下平均响应的不确定性，单次PI描述下一次实验波动。均值达标不保证每个批次达标。</t>
        </is>
      </c>
    </row>
    <row r="8">
      <c r="A8" s="2" t="inlineStr">
        <is>
          <t>区间限制</t>
        </is>
      </c>
      <c r="B8" s="2" t="inlineStr">
        <is>
          <t>各响应为固定模型点位的边际95%区间；不等于批次质量保证，未计入选模、寻优、测量系统、截图舍入与放大误差。</t>
        </is>
      </c>
    </row>
    <row r="9">
      <c r="A9" s="2" t="inlineStr">
        <is>
          <t>推荐比较</t>
        </is>
      </c>
      <c r="B9" s="2" t="inlineStr">
        <is>
          <t>A：75°C/相比0.830/初始氟1%；B：90°C/相比0.770/初始氟1%。各至少3次独立全流程重复，并实测同一边界内的总耗电与进料量。</t>
        </is>
      </c>
    </row>
    <row r="10">
      <c r="A10" s="2" t="inlineStr">
        <is>
          <t>控制条件</t>
        </is>
      </c>
      <c r="B10" s="2" t="inlineStr">
        <is>
          <t>两方案初始氟相同。记录并尽量统一起始温度、处理进料量、保温/萃取时长和搅拌强度；记录两相实际体积，相比方向需确认。</t>
        </is>
      </c>
    </row>
    <row r="11">
      <c r="A11" s="2" t="inlineStr">
        <is>
          <t>能耗指标</t>
        </is>
      </c>
      <c r="B11" s="2" t="inlineStr">
        <is>
          <t>单位处理量能耗=本批总耗电(kWh)/进料水相体积(m³)；单位回收氟能耗=总耗电/实测回收氟质量(kg)。模板采用实测进料氟浓度，不能把因素百分含量直接当kg/m³。</t>
        </is>
      </c>
    </row>
    <row r="12">
      <c r="A12" s="2" t="inlineStr">
        <is>
          <t>模板说明</t>
        </is>
      </c>
      <c r="B12" s="2" t="inlineStr">
        <is>
          <t>能耗记录页为未来试验计划，实测响应和能耗均留空。计算列仅在所需实测输入齐全时显示；不将旧版响应配到新批次能耗。</t>
        </is>
      </c>
    </row>
    <row r="13">
      <c r="A13" s="2" t="inlineStr">
        <is>
          <t>公平计量</t>
        </is>
      </c>
      <c r="B13" s="2" t="inlineStr">
        <is>
          <t>总耗电应覆盖统一约定的加热、保温、搅拌等本批过程；若包括再生/冷却/泵送，应对所有方案采用一致范围。额定功率×时间仅是估算，不能替代真实平均功率或电表积分。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9.55" customWidth="1" min="5" max="5"/>
    <col width="19.55" customWidth="1" min="6" max="6"/>
    <col width="19.55" customWidth="1" min="7" max="7"/>
    <col width="19.55" customWidth="1" min="8" max="8"/>
    <col width="19.55" customWidth="1" min="9" max="9"/>
    <col width="19.55" customWidth="1" min="10" max="10"/>
    <col width="20.7" customWidth="1" min="11" max="11"/>
    <col width="20.7" customWidth="1" min="12" max="12"/>
    <col width="20.7" customWidth="1" min="13" max="13"/>
    <col width="20.7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方案</t>
        </is>
      </c>
      <c r="B1" s="1" t="inlineStr">
        <is>
          <t>温度/°C</t>
        </is>
      </c>
      <c r="C1" s="1" t="inlineStr">
        <is>
          <t>相比</t>
        </is>
      </c>
      <c r="D1" s="1" t="inlineStr">
        <is>
          <t>初始氟含量/%</t>
        </is>
      </c>
      <c r="E1" s="1" t="inlineStr">
        <is>
          <t>氟预测/%</t>
        </is>
      </c>
      <c r="F1" s="1" t="inlineStr">
        <is>
          <t>磷损失预测/%</t>
        </is>
      </c>
      <c r="G1" s="1" t="inlineStr">
        <is>
          <t>氟均值CI下限</t>
        </is>
      </c>
      <c r="H1" s="1" t="inlineStr">
        <is>
          <t>氟均值CI上限</t>
        </is>
      </c>
      <c r="I1" s="1" t="inlineStr">
        <is>
          <t>氟单次PI下限</t>
        </is>
      </c>
      <c r="J1" s="1" t="inlineStr">
        <is>
          <t>氟单次PI上限</t>
        </is>
      </c>
      <c r="K1" s="1" t="inlineStr">
        <is>
          <t>磷均值CI下限</t>
        </is>
      </c>
      <c r="L1" s="1" t="inlineStr">
        <is>
          <t>磷均值CI上限</t>
        </is>
      </c>
      <c r="M1" s="1" t="inlineStr">
        <is>
          <t>磷单次PI下限</t>
        </is>
      </c>
      <c r="N1" s="1" t="inlineStr">
        <is>
          <t>磷单次PI上限</t>
        </is>
      </c>
      <c r="O1" s="1" t="inlineStr">
        <is>
          <t>点预测达标</t>
        </is>
      </c>
      <c r="P1" s="1" t="inlineStr">
        <is>
          <t>均值CI界达标</t>
        </is>
      </c>
      <c r="Q1" s="1" t="inlineStr">
        <is>
          <t>单次PI界达标</t>
        </is>
      </c>
    </row>
    <row r="2">
      <c r="A2" s="2" t="inlineStr">
        <is>
          <t>点预测约束最低温候选</t>
        </is>
      </c>
      <c r="B2" s="3" t="n">
        <v>75</v>
      </c>
      <c r="C2" s="3" t="n">
        <v>0.899</v>
      </c>
      <c r="D2" s="3" t="n">
        <v>0.862</v>
      </c>
      <c r="E2" s="3" t="n">
        <v>83.14440376952093</v>
      </c>
      <c r="F2" s="3" t="n">
        <v>4.998284182189543</v>
      </c>
      <c r="G2" s="3" t="n">
        <v>82.44129247925999</v>
      </c>
      <c r="H2" s="3" t="n">
        <v>83.84751505978188</v>
      </c>
      <c r="I2" s="3" t="n">
        <v>81.93723096613206</v>
      </c>
      <c r="J2" s="3" t="n">
        <v>84.35157657290981</v>
      </c>
      <c r="K2" s="3" t="n">
        <v>4.066872919786347</v>
      </c>
      <c r="L2" s="3" t="n">
        <v>5.92969544459274</v>
      </c>
      <c r="M2" s="3" t="n">
        <v>2.931452247301388</v>
      </c>
      <c r="N2" s="3" t="n">
        <v>7.065116117077699</v>
      </c>
      <c r="O2" s="2" t="b">
        <v>1</v>
      </c>
      <c r="P2" s="2" t="b">
        <v>0</v>
      </c>
      <c r="Q2" s="2" t="b">
        <v>0</v>
      </c>
    </row>
    <row r="3">
      <c r="A3" s="2" t="inlineStr">
        <is>
          <t>均值CI约束最低温候选</t>
        </is>
      </c>
      <c r="B3" s="3" t="n">
        <v>75</v>
      </c>
      <c r="C3" s="3" t="n">
        <v>0.824</v>
      </c>
      <c r="D3" s="3" t="n">
        <v>0.909</v>
      </c>
      <c r="E3" s="3" t="n">
        <v>81.55676121008402</v>
      </c>
      <c r="F3" s="3" t="n">
        <v>4.085246536356209</v>
      </c>
      <c r="G3" s="3" t="n">
        <v>80.87891477508015</v>
      </c>
      <c r="H3" s="3" t="n">
        <v>82.23460764508789</v>
      </c>
      <c r="I3" s="3" t="n">
        <v>80.36412694921576</v>
      </c>
      <c r="J3" s="3" t="n">
        <v>82.74939547095228</v>
      </c>
      <c r="K3" s="3" t="n">
        <v>3.172695160421215</v>
      </c>
      <c r="L3" s="3" t="n">
        <v>4.997797912291203</v>
      </c>
      <c r="M3" s="3" t="n">
        <v>2.02684489404661</v>
      </c>
      <c r="N3" s="3" t="n">
        <v>6.143648178665808</v>
      </c>
      <c r="O3" s="2" t="b">
        <v>1</v>
      </c>
      <c r="P3" s="2" t="b">
        <v>1</v>
      </c>
      <c r="Q3" s="2" t="b">
        <v>0</v>
      </c>
    </row>
    <row r="4">
      <c r="A4" s="2" t="inlineStr">
        <is>
          <t>单次PI约束边界候选</t>
        </is>
      </c>
      <c r="B4" s="3" t="n">
        <v>87.09999999999999</v>
      </c>
      <c r="C4" s="3" t="n">
        <v>0.77</v>
      </c>
      <c r="D4" s="3" t="n">
        <v>0.976</v>
      </c>
      <c r="E4" s="3" t="n">
        <v>81.09026560878883</v>
      </c>
      <c r="F4" s="3" t="n">
        <v>3.04206312385621</v>
      </c>
      <c r="G4" s="3" t="n">
        <v>80.6291529854268</v>
      </c>
      <c r="H4" s="3" t="n">
        <v>81.55137823215085</v>
      </c>
      <c r="I4" s="3" t="n">
        <v>80.00604905192708</v>
      </c>
      <c r="J4" s="3" t="n">
        <v>82.17448216565057</v>
      </c>
      <c r="K4" s="3" t="n">
        <v>2.387733709563148</v>
      </c>
      <c r="L4" s="3" t="n">
        <v>3.696392538149272</v>
      </c>
      <c r="M4" s="3" t="n">
        <v>1.084407819735716</v>
      </c>
      <c r="N4" s="3" t="n">
        <v>4.999718427976704</v>
      </c>
      <c r="O4" s="2" t="b">
        <v>1</v>
      </c>
      <c r="P4" s="2" t="b">
        <v>1</v>
      </c>
      <c r="Q4" s="2" t="b">
        <v>1</v>
      </c>
    </row>
    <row r="5">
      <c r="A5" s="2" t="inlineStr">
        <is>
          <t>低温验证A</t>
        </is>
      </c>
      <c r="B5" s="3" t="n">
        <v>75</v>
      </c>
      <c r="C5" s="3" t="n">
        <v>0.83</v>
      </c>
      <c r="D5" s="3" t="n">
        <v>1</v>
      </c>
      <c r="E5" s="3" t="n">
        <v>80.98478699264581</v>
      </c>
      <c r="F5" s="3" t="n">
        <v>3.992299640522876</v>
      </c>
      <c r="G5" s="3" t="n">
        <v>80.35057281460963</v>
      </c>
      <c r="H5" s="3" t="n">
        <v>81.61900117068198</v>
      </c>
      <c r="I5" s="3" t="n">
        <v>79.81639993589987</v>
      </c>
      <c r="J5" s="3" t="n">
        <v>82.15317404939175</v>
      </c>
      <c r="K5" s="3" t="n">
        <v>3.133994702115022</v>
      </c>
      <c r="L5" s="3" t="n">
        <v>4.85060457893073</v>
      </c>
      <c r="M5" s="3" t="n">
        <v>1.957366060614846</v>
      </c>
      <c r="N5" s="3" t="n">
        <v>6.027233220430906</v>
      </c>
      <c r="O5" s="2" t="b">
        <v>1</v>
      </c>
      <c r="P5" s="2" t="b">
        <v>1</v>
      </c>
      <c r="Q5" s="2" t="b">
        <v>0</v>
      </c>
    </row>
    <row r="6">
      <c r="A6" s="2" t="inlineStr">
        <is>
          <t>保守验证B</t>
        </is>
      </c>
      <c r="B6" s="3" t="n">
        <v>90</v>
      </c>
      <c r="C6" s="3" t="n">
        <v>0.77</v>
      </c>
      <c r="D6" s="3" t="n">
        <v>1</v>
      </c>
      <c r="E6" s="3" t="n">
        <v>81.20570124754256</v>
      </c>
      <c r="F6" s="3" t="n">
        <v>2.92148047385621</v>
      </c>
      <c r="G6" s="3" t="n">
        <v>80.72377702418677</v>
      </c>
      <c r="H6" s="3" t="n">
        <v>81.68762547089835</v>
      </c>
      <c r="I6" s="3" t="n">
        <v>80.11247133219702</v>
      </c>
      <c r="J6" s="3" t="n">
        <v>82.29893116288811</v>
      </c>
      <c r="K6" s="3" t="n">
        <v>2.20759208546584</v>
      </c>
      <c r="L6" s="3" t="n">
        <v>3.635368862246581</v>
      </c>
      <c r="M6" s="3" t="n">
        <v>0.9431215735500491</v>
      </c>
      <c r="N6" s="3" t="n">
        <v>4.899839374162371</v>
      </c>
      <c r="O6" s="2" t="b">
        <v>1</v>
      </c>
      <c r="P6" s="2" t="b">
        <v>1</v>
      </c>
      <c r="Q6" s="2" t="b">
        <v>1</v>
      </c>
    </row>
  </sheetData>
  <autoFilter ref="A1:Q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9.55" customWidth="1" min="5" max="5"/>
    <col width="20.7" customWidth="1" min="6" max="6"/>
    <col width="19.55" customWidth="1" min="7" max="7"/>
    <col width="19.55" customWidth="1" min="8" max="8"/>
    <col width="19.55" customWidth="1" min="9" max="9"/>
    <col width="19.55" customWidth="1" min="10" max="10"/>
    <col width="20.7" customWidth="1" min="11" max="11"/>
    <col width="20.7" customWidth="1" min="12" max="12"/>
    <col width="20.7" customWidth="1" min="13" max="13"/>
    <col width="20.7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方案</t>
        </is>
      </c>
      <c r="B1" s="1" t="inlineStr">
        <is>
          <t>温度/°C</t>
        </is>
      </c>
      <c r="C1" s="1" t="inlineStr">
        <is>
          <t>相比</t>
        </is>
      </c>
      <c r="D1" s="1" t="inlineStr">
        <is>
          <t>初始氟含量/%</t>
        </is>
      </c>
      <c r="E1" s="1" t="inlineStr">
        <is>
          <t>氟预测/%</t>
        </is>
      </c>
      <c r="F1" s="1" t="inlineStr">
        <is>
          <t>磷损失预测/%</t>
        </is>
      </c>
      <c r="G1" s="1" t="inlineStr">
        <is>
          <t>氟均值CI下限</t>
        </is>
      </c>
      <c r="H1" s="1" t="inlineStr">
        <is>
          <t>氟均值CI上限</t>
        </is>
      </c>
      <c r="I1" s="1" t="inlineStr">
        <is>
          <t>氟单次PI下限</t>
        </is>
      </c>
      <c r="J1" s="1" t="inlineStr">
        <is>
          <t>氟单次PI上限</t>
        </is>
      </c>
      <c r="K1" s="1" t="inlineStr">
        <is>
          <t>磷均值CI下限</t>
        </is>
      </c>
      <c r="L1" s="1" t="inlineStr">
        <is>
          <t>磷均值CI上限</t>
        </is>
      </c>
      <c r="M1" s="1" t="inlineStr">
        <is>
          <t>磷单次PI下限</t>
        </is>
      </c>
      <c r="N1" s="1" t="inlineStr">
        <is>
          <t>磷单次PI上限</t>
        </is>
      </c>
      <c r="O1" s="1" t="inlineStr">
        <is>
          <t>点预测达标</t>
        </is>
      </c>
      <c r="P1" s="1" t="inlineStr">
        <is>
          <t>均值CI界达标</t>
        </is>
      </c>
      <c r="Q1" s="1" t="inlineStr">
        <is>
          <t>单次PI界达标</t>
        </is>
      </c>
    </row>
    <row r="2">
      <c r="A2" s="2" t="inlineStr">
        <is>
          <t>相比1的条件预测</t>
        </is>
      </c>
      <c r="B2" s="2" t="n">
        <v>75</v>
      </c>
      <c r="C2" s="2" t="n">
        <v>1</v>
      </c>
      <c r="D2" s="3" t="n">
        <v>1</v>
      </c>
      <c r="E2" s="3" t="n">
        <v>84.11057249999999</v>
      </c>
      <c r="F2" s="3" t="n">
        <v>5.875238529411765</v>
      </c>
      <c r="G2" s="3" t="n">
        <v>83.51976669400564</v>
      </c>
      <c r="H2" s="3" t="n">
        <v>84.70137830599434</v>
      </c>
      <c r="I2" s="3" t="n">
        <v>82.96516768459804</v>
      </c>
      <c r="J2" s="3" t="n">
        <v>85.25597731540194</v>
      </c>
      <c r="K2" s="3" t="n">
        <v>5.084173151900721</v>
      </c>
      <c r="L2" s="3" t="n">
        <v>6.66630390692281</v>
      </c>
      <c r="M2" s="3" t="n">
        <v>3.867739652988993</v>
      </c>
      <c r="N2" s="3" t="n">
        <v>7.882737405834538</v>
      </c>
      <c r="O2" s="2" t="b">
        <v>0</v>
      </c>
      <c r="P2" s="2" t="b">
        <v>0</v>
      </c>
      <c r="Q2" s="2" t="b">
        <v>0</v>
      </c>
    </row>
    <row r="3">
      <c r="A3" s="2" t="inlineStr">
        <is>
          <t>相比1的条件预测</t>
        </is>
      </c>
      <c r="B3" s="2" t="n">
        <v>80</v>
      </c>
      <c r="C3" s="2" t="n">
        <v>1</v>
      </c>
      <c r="D3" s="3" t="n">
        <v>1</v>
      </c>
      <c r="E3" s="3" t="n">
        <v>84.72578625</v>
      </c>
      <c r="F3" s="3" t="n">
        <v>5.739821029411766</v>
      </c>
      <c r="G3" s="3" t="n">
        <v>84.29125338895652</v>
      </c>
      <c r="H3" s="3" t="n">
        <v>85.16031911104348</v>
      </c>
      <c r="I3" s="3" t="n">
        <v>83.65260429987413</v>
      </c>
      <c r="J3" s="3" t="n">
        <v>85.79896820012587</v>
      </c>
      <c r="K3" s="3" t="n">
        <v>5.186075265154034</v>
      </c>
      <c r="L3" s="3" t="n">
        <v>6.293566793669497</v>
      </c>
      <c r="M3" s="3" t="n">
        <v>3.813450951058341</v>
      </c>
      <c r="N3" s="3" t="n">
        <v>7.66619110776519</v>
      </c>
      <c r="O3" s="2" t="b">
        <v>0</v>
      </c>
      <c r="P3" s="2" t="b">
        <v>0</v>
      </c>
      <c r="Q3" s="2" t="b">
        <v>0</v>
      </c>
    </row>
    <row r="4">
      <c r="A4" s="2" t="inlineStr">
        <is>
          <t>相比1的条件预测</t>
        </is>
      </c>
      <c r="B4" s="2" t="n">
        <v>85</v>
      </c>
      <c r="C4" s="2" t="n">
        <v>1</v>
      </c>
      <c r="D4" s="3" t="n">
        <v>1</v>
      </c>
      <c r="E4" s="3" t="n">
        <v>85.22022</v>
      </c>
      <c r="F4" s="3" t="n">
        <v>5.604403529411766</v>
      </c>
      <c r="G4" s="3" t="n">
        <v>84.78138046423565</v>
      </c>
      <c r="H4" s="3" t="n">
        <v>85.65905953576434</v>
      </c>
      <c r="I4" s="3" t="n">
        <v>84.14528705841751</v>
      </c>
      <c r="J4" s="3" t="n">
        <v>86.29515294158249</v>
      </c>
      <c r="K4" s="3" t="n">
        <v>5.156909375171801</v>
      </c>
      <c r="L4" s="3" t="n">
        <v>6.05189768365173</v>
      </c>
      <c r="M4" s="3" t="n">
        <v>3.705846623385258</v>
      </c>
      <c r="N4" s="3" t="n">
        <v>7.502960435438273</v>
      </c>
      <c r="O4" s="2" t="b">
        <v>0</v>
      </c>
      <c r="P4" s="2" t="b">
        <v>0</v>
      </c>
      <c r="Q4" s="2" t="b">
        <v>0</v>
      </c>
    </row>
    <row r="5">
      <c r="A5" s="2" t="inlineStr">
        <is>
          <t>相比1的条件预测</t>
        </is>
      </c>
      <c r="B5" s="2" t="n">
        <v>90</v>
      </c>
      <c r="C5" s="2" t="n">
        <v>1</v>
      </c>
      <c r="D5" s="3" t="n">
        <v>1</v>
      </c>
      <c r="E5" s="3" t="n">
        <v>85.59387375</v>
      </c>
      <c r="F5" s="3" t="n">
        <v>5.468986029411766</v>
      </c>
      <c r="G5" s="3" t="n">
        <v>85.15934088895652</v>
      </c>
      <c r="H5" s="3" t="n">
        <v>86.02840661104348</v>
      </c>
      <c r="I5" s="3" t="n">
        <v>84.52069179987413</v>
      </c>
      <c r="J5" s="3" t="n">
        <v>86.66705570012587</v>
      </c>
      <c r="K5" s="3" t="n">
        <v>4.915240265154035</v>
      </c>
      <c r="L5" s="3" t="n">
        <v>6.022731793669497</v>
      </c>
      <c r="M5" s="3" t="n">
        <v>3.542615951058341</v>
      </c>
      <c r="N5" s="3" t="n">
        <v>7.39535610776519</v>
      </c>
      <c r="O5" s="2" t="b">
        <v>0</v>
      </c>
      <c r="P5" s="2" t="b">
        <v>0</v>
      </c>
      <c r="Q5" s="2" t="b">
        <v>0</v>
      </c>
    </row>
    <row r="6">
      <c r="A6" s="2" t="inlineStr">
        <is>
          <t>相比1的条件预测</t>
        </is>
      </c>
      <c r="B6" s="2" t="n">
        <v>95</v>
      </c>
      <c r="C6" s="2" t="n">
        <v>1</v>
      </c>
      <c r="D6" s="3" t="n">
        <v>1</v>
      </c>
      <c r="E6" s="3" t="n">
        <v>85.84674749999999</v>
      </c>
      <c r="F6" s="3" t="n">
        <v>5.333568529411766</v>
      </c>
      <c r="G6" s="3" t="n">
        <v>85.25594169400564</v>
      </c>
      <c r="H6" s="3" t="n">
        <v>86.43755330599434</v>
      </c>
      <c r="I6" s="3" t="n">
        <v>84.70134268459805</v>
      </c>
      <c r="J6" s="3" t="n">
        <v>86.99215231540194</v>
      </c>
      <c r="K6" s="3" t="n">
        <v>4.542503151900721</v>
      </c>
      <c r="L6" s="3" t="n">
        <v>6.12463390692281</v>
      </c>
      <c r="M6" s="3" t="n">
        <v>3.326069652988993</v>
      </c>
      <c r="N6" s="3" t="n">
        <v>7.341067405834538</v>
      </c>
      <c r="O6" s="2" t="b">
        <v>0</v>
      </c>
      <c r="P6" s="2" t="b">
        <v>0</v>
      </c>
      <c r="Q6" s="2" t="b">
        <v>0</v>
      </c>
    </row>
    <row r="7">
      <c r="A7" s="2" t="inlineStr">
        <is>
          <t>相比1的条件预测</t>
        </is>
      </c>
      <c r="B7" s="2" t="n">
        <v>75</v>
      </c>
      <c r="C7" s="2" t="n">
        <v>1</v>
      </c>
      <c r="D7" s="3" t="n">
        <v>1.2</v>
      </c>
      <c r="E7" s="3" t="n">
        <v>82.61211249999998</v>
      </c>
      <c r="F7" s="3" t="n">
        <v>5.524901029411765</v>
      </c>
      <c r="G7" s="3" t="n">
        <v>81.76230339316363</v>
      </c>
      <c r="H7" s="3" t="n">
        <v>83.46192160683633</v>
      </c>
      <c r="I7" s="3" t="n">
        <v>81.31400764721985</v>
      </c>
      <c r="J7" s="3" t="n">
        <v>83.91021735278011</v>
      </c>
      <c r="K7" s="3" t="n">
        <v>4.499563111984324</v>
      </c>
      <c r="L7" s="3" t="n">
        <v>6.550238946839206</v>
      </c>
      <c r="M7" s="3" t="n">
        <v>3.414075325509038</v>
      </c>
      <c r="N7" s="3" t="n">
        <v>7.635726733314492</v>
      </c>
      <c r="O7" s="2" t="b">
        <v>0</v>
      </c>
      <c r="P7" s="2" t="b">
        <v>0</v>
      </c>
      <c r="Q7" s="2" t="b">
        <v>0</v>
      </c>
    </row>
    <row r="8">
      <c r="A8" s="2" t="inlineStr">
        <is>
          <t>相比1的条件预测</t>
        </is>
      </c>
      <c r="B8" s="2" t="n">
        <v>80</v>
      </c>
      <c r="C8" s="2" t="n">
        <v>1</v>
      </c>
      <c r="D8" s="3" t="n">
        <v>1.2</v>
      </c>
      <c r="E8" s="3" t="n">
        <v>83.67236374999999</v>
      </c>
      <c r="F8" s="3" t="n">
        <v>5.389483529411765</v>
      </c>
      <c r="G8" s="3" t="n">
        <v>83.04034054360007</v>
      </c>
      <c r="H8" s="3" t="n">
        <v>84.30438695639991</v>
      </c>
      <c r="I8" s="3" t="n">
        <v>82.50516452785435</v>
      </c>
      <c r="J8" s="3" t="n">
        <v>84.83956297214563</v>
      </c>
      <c r="K8" s="3" t="n">
        <v>4.533815495153661</v>
      </c>
      <c r="L8" s="3" t="n">
        <v>6.24515156366987</v>
      </c>
      <c r="M8" s="3" t="n">
        <v>3.355660751440899</v>
      </c>
      <c r="N8" s="3" t="n">
        <v>7.423306307382632</v>
      </c>
      <c r="O8" s="2" t="b">
        <v>0</v>
      </c>
      <c r="P8" s="2" t="b">
        <v>0</v>
      </c>
      <c r="Q8" s="2" t="b">
        <v>0</v>
      </c>
    </row>
    <row r="9">
      <c r="A9" s="2" t="inlineStr">
        <is>
          <t>相比1的条件预测</t>
        </is>
      </c>
      <c r="B9" s="2" t="n">
        <v>85</v>
      </c>
      <c r="C9" s="2" t="n">
        <v>1</v>
      </c>
      <c r="D9" s="3" t="n">
        <v>1.2</v>
      </c>
      <c r="E9" s="3" t="n">
        <v>84.61183499999999</v>
      </c>
      <c r="F9" s="3" t="n">
        <v>5.254066029411765</v>
      </c>
      <c r="G9" s="3" t="n">
        <v>84.02102919400564</v>
      </c>
      <c r="H9" s="3" t="n">
        <v>85.20264080599433</v>
      </c>
      <c r="I9" s="3" t="n">
        <v>83.46643018459804</v>
      </c>
      <c r="J9" s="3" t="n">
        <v>85.75723981540193</v>
      </c>
      <c r="K9" s="3" t="n">
        <v>4.463000651900721</v>
      </c>
      <c r="L9" s="3" t="n">
        <v>6.04513140692281</v>
      </c>
      <c r="M9" s="3" t="n">
        <v>3.246567152988993</v>
      </c>
      <c r="N9" s="3" t="n">
        <v>7.261564905834538</v>
      </c>
      <c r="O9" s="2" t="b">
        <v>0</v>
      </c>
      <c r="P9" s="2" t="b">
        <v>0</v>
      </c>
      <c r="Q9" s="2" t="b">
        <v>0</v>
      </c>
    </row>
    <row r="10">
      <c r="A10" s="2" t="inlineStr">
        <is>
          <t>相比1的条件预测</t>
        </is>
      </c>
      <c r="B10" s="2" t="n">
        <v>90</v>
      </c>
      <c r="C10" s="2" t="n">
        <v>1</v>
      </c>
      <c r="D10" s="3" t="n">
        <v>1.2</v>
      </c>
      <c r="E10" s="3" t="n">
        <v>85.43052624999999</v>
      </c>
      <c r="F10" s="3" t="n">
        <v>5.118648529411765</v>
      </c>
      <c r="G10" s="3" t="n">
        <v>84.79850304360006</v>
      </c>
      <c r="H10" s="3" t="n">
        <v>86.06254945639991</v>
      </c>
      <c r="I10" s="3" t="n">
        <v>84.26332702785434</v>
      </c>
      <c r="J10" s="3" t="n">
        <v>86.59772547214563</v>
      </c>
      <c r="K10" s="3" t="n">
        <v>4.262980495153661</v>
      </c>
      <c r="L10" s="3" t="n">
        <v>5.97431656366987</v>
      </c>
      <c r="M10" s="3" t="n">
        <v>3.0848257514409</v>
      </c>
      <c r="N10" s="3" t="n">
        <v>7.152471307382632</v>
      </c>
      <c r="O10" s="2" t="b">
        <v>0</v>
      </c>
      <c r="P10" s="2" t="b">
        <v>0</v>
      </c>
      <c r="Q10" s="2" t="b">
        <v>0</v>
      </c>
    </row>
    <row r="11">
      <c r="A11" s="2" t="inlineStr">
        <is>
          <t>相比1的条件预测</t>
        </is>
      </c>
      <c r="B11" s="2" t="n">
        <v>95</v>
      </c>
      <c r="C11" s="2" t="n">
        <v>1</v>
      </c>
      <c r="D11" s="3" t="n">
        <v>1.2</v>
      </c>
      <c r="E11" s="3" t="n">
        <v>86.12843749999998</v>
      </c>
      <c r="F11" s="3" t="n">
        <v>4.983231029411765</v>
      </c>
      <c r="G11" s="3" t="n">
        <v>85.27862839316363</v>
      </c>
      <c r="H11" s="3" t="n">
        <v>86.97824660683632</v>
      </c>
      <c r="I11" s="3" t="n">
        <v>84.83033264721985</v>
      </c>
      <c r="J11" s="3" t="n">
        <v>87.4265423527801</v>
      </c>
      <c r="K11" s="3" t="n">
        <v>3.957893111984324</v>
      </c>
      <c r="L11" s="3" t="n">
        <v>6.008568946839207</v>
      </c>
      <c r="M11" s="3" t="n">
        <v>2.872405325509038</v>
      </c>
      <c r="N11" s="3" t="n">
        <v>7.094056733314492</v>
      </c>
      <c r="O11" s="2" t="b">
        <v>1</v>
      </c>
      <c r="P11" s="2" t="b">
        <v>0</v>
      </c>
      <c r="Q11" s="2" t="b">
        <v>0</v>
      </c>
    </row>
  </sheetData>
  <autoFilter ref="A1:Q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6.1" customWidth="1" min="12" max="12"/>
    <col width="17.25" customWidth="1" min="13" max="13"/>
    <col width="18.4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计划编号</t>
        </is>
      </c>
      <c r="B1" s="1" t="inlineStr">
        <is>
          <t>重复</t>
        </is>
      </c>
      <c r="C1" s="1" t="inlineStr">
        <is>
          <t>温度/°C</t>
        </is>
      </c>
      <c r="D1" s="1" t="inlineStr">
        <is>
          <t>相比</t>
        </is>
      </c>
      <c r="E1" s="1" t="inlineStr">
        <is>
          <t>初始氟含量/%</t>
        </is>
      </c>
      <c r="F1" s="1" t="inlineStr">
        <is>
          <t>起始温度/°C</t>
        </is>
      </c>
      <c r="G1" s="1" t="inlineStr">
        <is>
          <t>进料水相体积/L</t>
        </is>
      </c>
      <c r="H1" s="1" t="inlineStr">
        <is>
          <t>本批实测氟萃取率/%</t>
        </is>
      </c>
      <c r="I1" s="1" t="inlineStr">
        <is>
          <t>本批实测磷损失/%</t>
        </is>
      </c>
      <c r="J1" s="1" t="inlineStr">
        <is>
          <t>本批总耗电/kWh</t>
        </is>
      </c>
      <c r="K1" s="1" t="inlineStr">
        <is>
          <t>总运行时间/min</t>
        </is>
      </c>
      <c r="L1" s="1" t="inlineStr">
        <is>
          <t>实测进料氟浓度/kg·m⁻³</t>
        </is>
      </c>
      <c r="M1" s="1" t="inlineStr">
        <is>
          <t>单位处理量能耗/kWh·m⁻³</t>
        </is>
      </c>
      <c r="N1" s="1" t="inlineStr">
        <is>
          <t>单位回收氟能耗/kWh·kg⁻¹</t>
        </is>
      </c>
      <c r="O1" s="1" t="inlineStr">
        <is>
          <t>本批质量判定</t>
        </is>
      </c>
      <c r="P1" s="1" t="inlineStr">
        <is>
          <t>保温或萃取时间/min</t>
        </is>
      </c>
      <c r="Q1" s="1" t="inlineStr">
        <is>
          <t>搅拌转速/rpm</t>
        </is>
      </c>
    </row>
    <row r="2">
      <c r="A2" s="2" t="inlineStr">
        <is>
          <t>A-1</t>
        </is>
      </c>
      <c r="B2" s="2" t="n">
        <v>1</v>
      </c>
      <c r="C2" s="2" t="n">
        <v>75</v>
      </c>
      <c r="D2" s="3" t="n">
        <v>0.83</v>
      </c>
      <c r="E2" s="2" t="n">
        <v>1</v>
      </c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2">
        <f>IF(AND(ISNUMBER(J2),ISNUMBER(G2),G2&gt;0),J2/(G2/1000),"")</f>
        <v/>
      </c>
      <c r="N2" s="2">
        <f>IF(AND(ISNUMBER(J2),ISNUMBER(G2),ISNUMBER(L2),ISNUMBER(H2),G2&gt;0,L2&gt;0,H2&gt;0),J2/((G2/1000)*L2*(H2/100)),"")</f>
        <v/>
      </c>
      <c r="O2" s="2">
        <f>IF(AND(ISNUMBER(H2),ISNUMBER(I2)),IF(AND(H2&gt;=80,I2&lt;=5),"达标","未达标"),"")</f>
        <v/>
      </c>
      <c r="P2" s="4" t="inlineStr"/>
      <c r="Q2" s="4" t="inlineStr"/>
    </row>
    <row r="3">
      <c r="A3" s="2" t="inlineStr">
        <is>
          <t>A-2</t>
        </is>
      </c>
      <c r="B3" s="2" t="n">
        <v>2</v>
      </c>
      <c r="C3" s="2" t="n">
        <v>75</v>
      </c>
      <c r="D3" s="3" t="n">
        <v>0.83</v>
      </c>
      <c r="E3" s="2" t="n">
        <v>1</v>
      </c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2">
        <f>IF(AND(ISNUMBER(J3),ISNUMBER(G3),G3&gt;0),J3/(G3/1000),"")</f>
        <v/>
      </c>
      <c r="N3" s="2">
        <f>IF(AND(ISNUMBER(J3),ISNUMBER(G3),ISNUMBER(L3),ISNUMBER(H3),G3&gt;0,L3&gt;0,H3&gt;0),J3/((G3/1000)*L3*(H3/100)),"")</f>
        <v/>
      </c>
      <c r="O3" s="2">
        <f>IF(AND(ISNUMBER(H3),ISNUMBER(I3)),IF(AND(H3&gt;=80,I3&lt;=5),"达标","未达标"),"")</f>
        <v/>
      </c>
      <c r="P3" s="4" t="inlineStr"/>
      <c r="Q3" s="4" t="inlineStr"/>
    </row>
    <row r="4">
      <c r="A4" s="2" t="inlineStr">
        <is>
          <t>A-3</t>
        </is>
      </c>
      <c r="B4" s="2" t="n">
        <v>3</v>
      </c>
      <c r="C4" s="2" t="n">
        <v>75</v>
      </c>
      <c r="D4" s="3" t="n">
        <v>0.83</v>
      </c>
      <c r="E4" s="2" t="n">
        <v>1</v>
      </c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2">
        <f>IF(AND(ISNUMBER(J4),ISNUMBER(G4),G4&gt;0),J4/(G4/1000),"")</f>
        <v/>
      </c>
      <c r="N4" s="2">
        <f>IF(AND(ISNUMBER(J4),ISNUMBER(G4),ISNUMBER(L4),ISNUMBER(H4),G4&gt;0,L4&gt;0,H4&gt;0),J4/((G4/1000)*L4*(H4/100)),"")</f>
        <v/>
      </c>
      <c r="O4" s="2">
        <f>IF(AND(ISNUMBER(H4),ISNUMBER(I4)),IF(AND(H4&gt;=80,I4&lt;=5),"达标","未达标"),"")</f>
        <v/>
      </c>
      <c r="P4" s="4" t="inlineStr"/>
      <c r="Q4" s="4" t="inlineStr"/>
    </row>
    <row r="5">
      <c r="A5" s="2" t="inlineStr">
        <is>
          <t>B-1</t>
        </is>
      </c>
      <c r="B5" s="2" t="n">
        <v>1</v>
      </c>
      <c r="C5" s="2" t="n">
        <v>90</v>
      </c>
      <c r="D5" s="3" t="n">
        <v>0.77</v>
      </c>
      <c r="E5" s="2" t="n">
        <v>1</v>
      </c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2">
        <f>IF(AND(ISNUMBER(J5),ISNUMBER(G5),G5&gt;0),J5/(G5/1000),"")</f>
        <v/>
      </c>
      <c r="N5" s="2">
        <f>IF(AND(ISNUMBER(J5),ISNUMBER(G5),ISNUMBER(L5),ISNUMBER(H5),G5&gt;0,L5&gt;0,H5&gt;0),J5/((G5/1000)*L5*(H5/100)),"")</f>
        <v/>
      </c>
      <c r="O5" s="2">
        <f>IF(AND(ISNUMBER(H5),ISNUMBER(I5)),IF(AND(H5&gt;=80,I5&lt;=5),"达标","未达标"),"")</f>
        <v/>
      </c>
      <c r="P5" s="4" t="inlineStr"/>
      <c r="Q5" s="4" t="inlineStr"/>
    </row>
    <row r="6">
      <c r="A6" s="2" t="inlineStr">
        <is>
          <t>B-2</t>
        </is>
      </c>
      <c r="B6" s="2" t="n">
        <v>2</v>
      </c>
      <c r="C6" s="2" t="n">
        <v>90</v>
      </c>
      <c r="D6" s="3" t="n">
        <v>0.77</v>
      </c>
      <c r="E6" s="2" t="n">
        <v>1</v>
      </c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2">
        <f>IF(AND(ISNUMBER(J6),ISNUMBER(G6),G6&gt;0),J6/(G6/1000),"")</f>
        <v/>
      </c>
      <c r="N6" s="2">
        <f>IF(AND(ISNUMBER(J6),ISNUMBER(G6),ISNUMBER(L6),ISNUMBER(H6),G6&gt;0,L6&gt;0,H6&gt;0),J6/((G6/1000)*L6*(H6/100)),"")</f>
        <v/>
      </c>
      <c r="O6" s="2">
        <f>IF(AND(ISNUMBER(H6),ISNUMBER(I6)),IF(AND(H6&gt;=80,I6&lt;=5),"达标","未达标"),"")</f>
        <v/>
      </c>
      <c r="P6" s="4" t="inlineStr"/>
      <c r="Q6" s="4" t="inlineStr"/>
    </row>
    <row r="7">
      <c r="A7" s="2" t="inlineStr">
        <is>
          <t>B-3</t>
        </is>
      </c>
      <c r="B7" s="2" t="n">
        <v>3</v>
      </c>
      <c r="C7" s="2" t="n">
        <v>90</v>
      </c>
      <c r="D7" s="3" t="n">
        <v>0.77</v>
      </c>
      <c r="E7" s="2" t="n">
        <v>1</v>
      </c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2">
        <f>IF(AND(ISNUMBER(J7),ISNUMBER(G7),G7&gt;0),J7/(G7/1000),"")</f>
        <v/>
      </c>
      <c r="N7" s="2">
        <f>IF(AND(ISNUMBER(J7),ISNUMBER(G7),ISNUMBER(L7),ISNUMBER(H7),G7&gt;0,L7&gt;0,H7&gt;0),J7/((G7/1000)*L7*(H7/100)),"")</f>
        <v/>
      </c>
      <c r="O7" s="2">
        <f>IF(AND(ISNUMBER(H7),ISNUMBER(I7)),IF(AND(H7&gt;=80,I7&lt;=5),"达标","未达标"),"")</f>
        <v/>
      </c>
      <c r="P7" s="4" t="inlineStr"/>
      <c r="Q7" s="4" t="inlineStr"/>
    </row>
  </sheetData>
  <autoFilter ref="A1:Q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Std</t>
        </is>
      </c>
      <c r="B1" s="1" t="inlineStr">
        <is>
          <t>Run</t>
        </is>
      </c>
      <c r="C1" s="1" t="inlineStr">
        <is>
          <t>Temperature</t>
        </is>
      </c>
      <c r="D1" s="1" t="inlineStr">
        <is>
          <t>Ratio</t>
        </is>
      </c>
      <c r="E1" s="1" t="inlineStr">
        <is>
          <t>Initial_F</t>
        </is>
      </c>
      <c r="F1" s="1" t="inlineStr">
        <is>
          <t>F</t>
        </is>
      </c>
      <c r="G1" s="1" t="inlineStr">
        <is>
          <t>P</t>
        </is>
      </c>
      <c r="H1" s="1" t="inlineStr">
        <is>
          <t>beta</t>
        </is>
      </c>
    </row>
    <row r="2">
      <c r="A2" s="2" t="n">
        <v>1</v>
      </c>
      <c r="B2" s="2" t="n">
        <v>1</v>
      </c>
      <c r="C2" s="2" t="n">
        <v>75</v>
      </c>
      <c r="D2" s="3" t="n">
        <v>0.667</v>
      </c>
      <c r="E2" s="3" t="n">
        <v>1</v>
      </c>
      <c r="F2" s="3" t="n">
        <v>77.1194</v>
      </c>
      <c r="G2" s="3" t="n">
        <v>1.63611</v>
      </c>
      <c r="H2" s="3" t="n">
        <v>202.637</v>
      </c>
    </row>
    <row r="3">
      <c r="A3" s="2" t="n">
        <v>15</v>
      </c>
      <c r="B3" s="2" t="n">
        <v>2</v>
      </c>
      <c r="C3" s="2" t="n">
        <v>85</v>
      </c>
      <c r="D3" s="3" t="n">
        <v>1</v>
      </c>
      <c r="E3" s="3" t="n">
        <v>1</v>
      </c>
      <c r="F3" s="3" t="n">
        <v>85.0926</v>
      </c>
      <c r="G3" s="3" t="n">
        <v>5.6442</v>
      </c>
      <c r="H3" s="3" t="n">
        <v>95.42359999999999</v>
      </c>
    </row>
    <row r="4">
      <c r="A4" s="2" t="n">
        <v>17</v>
      </c>
      <c r="B4" s="2" t="n">
        <v>3</v>
      </c>
      <c r="C4" s="2" t="n">
        <v>85</v>
      </c>
      <c r="D4" s="3" t="n">
        <v>1</v>
      </c>
      <c r="E4" s="3" t="n">
        <v>1</v>
      </c>
      <c r="F4" s="3" t="n">
        <v>85.8652</v>
      </c>
      <c r="G4" s="3" t="n">
        <v>4.84424</v>
      </c>
      <c r="H4" s="3" t="n">
        <v>119.326</v>
      </c>
    </row>
    <row r="5">
      <c r="A5" s="2" t="n">
        <v>4</v>
      </c>
      <c r="B5" s="2" t="n">
        <v>4</v>
      </c>
      <c r="C5" s="2" t="n">
        <v>95</v>
      </c>
      <c r="D5" s="3" t="n">
        <v>1.333</v>
      </c>
      <c r="E5" s="3" t="n">
        <v>1</v>
      </c>
      <c r="F5" s="3" t="n">
        <v>88.9474</v>
      </c>
      <c r="G5" s="3" t="n">
        <v>10.1964</v>
      </c>
      <c r="H5" s="3" t="n">
        <v>70.87869999999999</v>
      </c>
    </row>
    <row r="6">
      <c r="A6" s="2" t="n">
        <v>7</v>
      </c>
      <c r="B6" s="2" t="n">
        <v>5</v>
      </c>
      <c r="C6" s="2" t="n">
        <v>75</v>
      </c>
      <c r="D6" s="3" t="n">
        <v>1</v>
      </c>
      <c r="E6" s="3" t="n">
        <v>1.2</v>
      </c>
      <c r="F6" s="3" t="n">
        <v>82.77630000000001</v>
      </c>
      <c r="G6" s="3" t="n">
        <v>6.67532</v>
      </c>
      <c r="H6" s="3" t="n">
        <v>67.18989999999999</v>
      </c>
    </row>
    <row r="7">
      <c r="A7" s="2" t="n">
        <v>12</v>
      </c>
      <c r="B7" s="2" t="n">
        <v>6</v>
      </c>
      <c r="C7" s="2" t="n">
        <v>85</v>
      </c>
      <c r="D7" s="3" t="n">
        <v>1.333</v>
      </c>
      <c r="E7" s="3" t="n">
        <v>1.2</v>
      </c>
      <c r="F7" s="3" t="n">
        <v>88.9922</v>
      </c>
      <c r="G7" s="3" t="n">
        <v>8.934139999999999</v>
      </c>
      <c r="H7" s="3" t="n">
        <v>82.4053</v>
      </c>
    </row>
    <row r="8">
      <c r="A8" s="2" t="n">
        <v>11</v>
      </c>
      <c r="B8" s="2" t="n">
        <v>7</v>
      </c>
      <c r="C8" s="2" t="n">
        <v>85</v>
      </c>
      <c r="D8" s="3" t="n">
        <v>0.667</v>
      </c>
      <c r="E8" s="3" t="n">
        <v>1.2</v>
      </c>
      <c r="F8" s="3" t="n">
        <v>76.0625</v>
      </c>
      <c r="G8" s="3" t="n">
        <v>1.81942</v>
      </c>
      <c r="H8" s="3" t="n">
        <v>171.468</v>
      </c>
    </row>
    <row r="9">
      <c r="A9" s="2" t="n">
        <v>9</v>
      </c>
      <c r="B9" s="2" t="n">
        <v>8</v>
      </c>
      <c r="C9" s="2" t="n">
        <v>85</v>
      </c>
      <c r="D9" s="3" t="n">
        <v>0.667</v>
      </c>
      <c r="E9" s="3" t="n">
        <v>0.8</v>
      </c>
      <c r="F9" s="3" t="n">
        <v>79.49769999999999</v>
      </c>
      <c r="G9" s="3" t="n">
        <v>2.94802</v>
      </c>
      <c r="H9" s="3" t="n">
        <v>127.652</v>
      </c>
    </row>
    <row r="10">
      <c r="A10" s="2" t="n">
        <v>8</v>
      </c>
      <c r="B10" s="2" t="n">
        <v>9</v>
      </c>
      <c r="C10" s="2" t="n">
        <v>95</v>
      </c>
      <c r="D10" s="3" t="n">
        <v>1</v>
      </c>
      <c r="E10" s="3" t="n">
        <v>1.2</v>
      </c>
      <c r="F10" s="3" t="n">
        <v>86.3856</v>
      </c>
      <c r="G10" s="3" t="n">
        <v>5.36879</v>
      </c>
      <c r="H10" s="3" t="n">
        <v>111.841</v>
      </c>
    </row>
    <row r="11">
      <c r="A11" s="2" t="n">
        <v>3</v>
      </c>
      <c r="B11" s="2" t="n">
        <v>10</v>
      </c>
      <c r="C11" s="2" t="n">
        <v>75</v>
      </c>
      <c r="D11" s="3" t="n">
        <v>1.333</v>
      </c>
      <c r="E11" s="3" t="n">
        <v>1</v>
      </c>
      <c r="F11" s="3" t="n">
        <v>87.44710000000001</v>
      </c>
      <c r="G11" s="3" t="n">
        <v>8.483280000000001</v>
      </c>
      <c r="H11" s="3" t="n">
        <v>75.15130000000001</v>
      </c>
    </row>
    <row r="12">
      <c r="A12" s="2" t="n">
        <v>14</v>
      </c>
      <c r="B12" s="2" t="n">
        <v>11</v>
      </c>
      <c r="C12" s="2" t="n">
        <v>85</v>
      </c>
      <c r="D12" s="3" t="n">
        <v>1</v>
      </c>
      <c r="E12" s="3" t="n">
        <v>1</v>
      </c>
      <c r="F12" s="3" t="n">
        <v>84.9271</v>
      </c>
      <c r="G12" s="3" t="n">
        <v>4.47581</v>
      </c>
      <c r="H12" s="3" t="n">
        <v>120.252</v>
      </c>
    </row>
    <row r="13">
      <c r="A13" s="2" t="n">
        <v>2</v>
      </c>
      <c r="B13" s="2" t="n">
        <v>12</v>
      </c>
      <c r="C13" s="2" t="n">
        <v>95</v>
      </c>
      <c r="D13" s="3" t="n">
        <v>0.667</v>
      </c>
      <c r="E13" s="3" t="n">
        <v>1</v>
      </c>
      <c r="F13" s="3" t="n">
        <v>78.9055</v>
      </c>
      <c r="G13" s="3" t="n">
        <v>1.22636</v>
      </c>
      <c r="H13" s="3" t="n">
        <v>301.273</v>
      </c>
    </row>
    <row r="14">
      <c r="A14" s="2" t="n">
        <v>16</v>
      </c>
      <c r="B14" s="2" t="n">
        <v>13</v>
      </c>
      <c r="C14" s="2" t="n">
        <v>85</v>
      </c>
      <c r="D14" s="3" t="n">
        <v>1</v>
      </c>
      <c r="E14" s="3" t="n">
        <v>1</v>
      </c>
      <c r="F14" s="3" t="n">
        <v>85.48869999999999</v>
      </c>
      <c r="G14" s="3" t="n">
        <v>5.48297</v>
      </c>
      <c r="H14" s="3" t="n">
        <v>101.554</v>
      </c>
    </row>
    <row r="15">
      <c r="A15" s="2" t="n">
        <v>10</v>
      </c>
      <c r="B15" s="2" t="n">
        <v>14</v>
      </c>
      <c r="C15" s="2" t="n">
        <v>85</v>
      </c>
      <c r="D15" s="3" t="n">
        <v>1.333</v>
      </c>
      <c r="E15" s="3" t="n">
        <v>0.8</v>
      </c>
      <c r="F15" s="3" t="n">
        <v>86.9569</v>
      </c>
      <c r="G15" s="3" t="n">
        <v>9.52285</v>
      </c>
      <c r="H15" s="3" t="n">
        <v>63.3423</v>
      </c>
    </row>
    <row r="16">
      <c r="A16" s="2" t="n">
        <v>5</v>
      </c>
      <c r="B16" s="2" t="n">
        <v>15</v>
      </c>
      <c r="C16" s="2" t="n">
        <v>75</v>
      </c>
      <c r="D16" s="3" t="n">
        <v>1</v>
      </c>
      <c r="E16" s="3" t="n">
        <v>0.8</v>
      </c>
      <c r="F16" s="3" t="n">
        <v>84.41370000000001</v>
      </c>
      <c r="G16" s="3" t="n">
        <v>7.64651</v>
      </c>
      <c r="H16" s="3" t="n">
        <v>65.41240000000001</v>
      </c>
    </row>
    <row r="17">
      <c r="A17" s="2" t="n">
        <v>6</v>
      </c>
      <c r="B17" s="2" t="n">
        <v>16</v>
      </c>
      <c r="C17" s="2" t="n">
        <v>95</v>
      </c>
      <c r="D17" s="3" t="n">
        <v>1</v>
      </c>
      <c r="E17" s="3" t="n">
        <v>0.8</v>
      </c>
      <c r="F17" s="3" t="n">
        <v>84.4627</v>
      </c>
      <c r="G17" s="3" t="n">
        <v>5.48299</v>
      </c>
      <c r="H17" s="3" t="n">
        <v>93.7092</v>
      </c>
    </row>
    <row r="18">
      <c r="A18" s="2" t="n">
        <v>13</v>
      </c>
      <c r="B18" s="2" t="n">
        <v>17</v>
      </c>
      <c r="C18" s="2" t="n">
        <v>85</v>
      </c>
      <c r="D18" s="3" t="n">
        <v>1</v>
      </c>
      <c r="E18" s="3" t="n">
        <v>1</v>
      </c>
      <c r="F18" s="3" t="n">
        <v>84.72750000000001</v>
      </c>
      <c r="G18" s="3" t="n">
        <v>4.88745</v>
      </c>
      <c r="H18" s="3" t="n">
        <v>107.961</v>
      </c>
    </row>
  </sheetData>
  <autoFilter ref="A1:H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2026-10-28T15:14:16Z</dcterms:created>
  <dcterms:modified xmlns:dcterms="http://purl.org/dc/terms/" xmlns:xsi="http://www.w3.org/2001/XMLSchema-instance" xsi:type="dcterms:W3CDTF">2026-10-28T15:14:16Z</dcterms:modified>
</cp:coreProperties>
</file>